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-para-midia/SISAB/dados/visita_domiciliar/"/>
    </mc:Choice>
  </mc:AlternateContent>
  <xr:revisionPtr revIDLastSave="0" documentId="13_ncr:1_{752E5D01-EFCE-194A-B1F3-DD7CF91BA1B1}" xr6:coauthVersionLast="47" xr6:coauthVersionMax="47" xr10:uidLastSave="{00000000-0000-0000-0000-000000000000}"/>
  <bookViews>
    <workbookView xWindow="0" yWindow="0" windowWidth="28800" windowHeight="18000" activeTab="3" xr2:uid="{17FF875B-B3C1-F949-B649-9AA6C895FAA4}"/>
  </bookViews>
  <sheets>
    <sheet name="demência" sheetId="1" r:id="rId1"/>
    <sheet name="visita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7" i="1"/>
  <c r="D6" i="1"/>
  <c r="D5" i="1"/>
  <c r="D4" i="1"/>
  <c r="D3" i="1"/>
  <c r="D2" i="1"/>
  <c r="D8" i="1"/>
</calcChain>
</file>

<file path=xl/sharedStrings.xml><?xml version="1.0" encoding="utf-8"?>
<sst xmlns="http://schemas.openxmlformats.org/spreadsheetml/2006/main" count="19" uniqueCount="17">
  <si>
    <t>Ano</t>
  </si>
  <si>
    <t>Total atendimentos CID demência</t>
  </si>
  <si>
    <t>Atendimentos de idosos CID demência</t>
  </si>
  <si>
    <t xml:space="preserve">Percentual </t>
  </si>
  <si>
    <t>Total visitas domiciliares</t>
  </si>
  <si>
    <t>Total visitas domicilares para pessoas idosas</t>
  </si>
  <si>
    <t>Total visitas domicilares para adultos</t>
  </si>
  <si>
    <t>total visitas para criancas</t>
  </si>
  <si>
    <t>ano</t>
  </si>
  <si>
    <t>total visita domiciliar idosos (60 ou mais)</t>
  </si>
  <si>
    <t>total visitas criancas (0-14)</t>
  </si>
  <si>
    <t>total adultos 15-59</t>
  </si>
  <si>
    <t>https://educa.ibge.gov.br/jovens/conheca-o-brasil/populacao/18318-piramide-etaria.html?utm_source=chatgpt.com</t>
  </si>
  <si>
    <t>total visita geral</t>
  </si>
  <si>
    <t>total visita geral idoso</t>
  </si>
  <si>
    <t>total visita crianca</t>
  </si>
  <si>
    <t>total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</si>
</sst>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3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052D-97A8-2846-86EA-A16C8B732771}">
  <dimension ref="A1:I8"/>
  <sheetViews>
    <sheetView workbookViewId="0">
      <selection activeCell="I22" sqref="I22"/>
    </sheetView>
  </sheetViews>
  <sheetFormatPr baseColWidth="10" defaultRowHeight="16" x14ac:dyDescent="0.2"/>
  <cols>
    <col min="2" max="2" width="29.1640625" bestFit="1" customWidth="1"/>
    <col min="3" max="3" width="33.1640625" bestFit="1" customWidth="1"/>
    <col min="6" max="6" width="5.1640625" bestFit="1" customWidth="1"/>
    <col min="7" max="7" width="21.83203125" bestFit="1" customWidth="1"/>
    <col min="8" max="8" width="38.6640625" bestFit="1" customWidth="1"/>
    <col min="9" max="9" width="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</row>
    <row r="2" spans="1:9" x14ac:dyDescent="0.2">
      <c r="A2">
        <v>2019</v>
      </c>
      <c r="B2" s="1">
        <v>389752</v>
      </c>
      <c r="C2" s="1">
        <v>389257</v>
      </c>
      <c r="D2" s="4">
        <f t="shared" ref="D2:D8" si="0">C2/B2</f>
        <v>0.99872996161661776</v>
      </c>
      <c r="G2" s="1"/>
      <c r="H2" s="1"/>
      <c r="I2" s="3"/>
    </row>
    <row r="3" spans="1:9" x14ac:dyDescent="0.2">
      <c r="A3">
        <v>2020</v>
      </c>
      <c r="B3" s="1">
        <v>347280</v>
      </c>
      <c r="C3" s="1">
        <v>344862</v>
      </c>
      <c r="D3" s="4">
        <f t="shared" si="0"/>
        <v>0.99303731859018662</v>
      </c>
      <c r="G3" s="1"/>
      <c r="H3" s="1"/>
      <c r="I3" s="3"/>
    </row>
    <row r="4" spans="1:9" x14ac:dyDescent="0.2">
      <c r="A4">
        <v>2021</v>
      </c>
      <c r="B4" s="1">
        <v>267948</v>
      </c>
      <c r="C4" s="1">
        <v>262878</v>
      </c>
      <c r="D4" s="4">
        <f t="shared" si="0"/>
        <v>0.98107841820054642</v>
      </c>
      <c r="G4" s="1"/>
      <c r="H4" s="1"/>
      <c r="I4" s="3"/>
    </row>
    <row r="5" spans="1:9" x14ac:dyDescent="0.2">
      <c r="A5">
        <v>2022</v>
      </c>
      <c r="B5" s="1">
        <v>264247</v>
      </c>
      <c r="C5" s="1">
        <v>264247</v>
      </c>
      <c r="D5" s="4">
        <f t="shared" si="0"/>
        <v>1</v>
      </c>
      <c r="G5" s="1"/>
      <c r="H5" s="1"/>
      <c r="I5" s="3"/>
    </row>
    <row r="6" spans="1:9" x14ac:dyDescent="0.2">
      <c r="A6">
        <v>2023</v>
      </c>
      <c r="B6" s="1">
        <v>203773</v>
      </c>
      <c r="C6" s="1">
        <v>195870</v>
      </c>
      <c r="D6" s="4">
        <f t="shared" si="0"/>
        <v>0.96121664793667461</v>
      </c>
      <c r="G6" s="2"/>
      <c r="H6" s="1"/>
      <c r="I6" s="3"/>
    </row>
    <row r="7" spans="1:9" x14ac:dyDescent="0.2">
      <c r="A7">
        <v>2024</v>
      </c>
      <c r="B7" s="1">
        <v>157415</v>
      </c>
      <c r="C7" s="1">
        <v>150881</v>
      </c>
      <c r="D7" s="4">
        <f t="shared" si="0"/>
        <v>0.95849188450910017</v>
      </c>
      <c r="G7" s="1"/>
      <c r="H7" s="1"/>
      <c r="I7" s="3"/>
    </row>
    <row r="8" spans="1:9" x14ac:dyDescent="0.2">
      <c r="A8">
        <v>2025</v>
      </c>
      <c r="B8" s="1">
        <v>148205</v>
      </c>
      <c r="C8" s="1">
        <v>136199</v>
      </c>
      <c r="D8" s="4">
        <f t="shared" si="0"/>
        <v>0.91899058736209982</v>
      </c>
      <c r="G8" s="1"/>
      <c r="H8" s="1"/>
      <c r="I8" s="3"/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C0F5-6576-A442-ACA2-DB2B853DBD5C}">
  <dimension ref="A1:E14"/>
  <sheetViews>
    <sheetView workbookViewId="0">
      <selection sqref="A1:C8"/>
    </sheetView>
  </sheetViews>
  <sheetFormatPr baseColWidth="10" defaultRowHeight="16" x14ac:dyDescent="0.2"/>
  <cols>
    <col min="1" max="1" width="5.1640625" bestFit="1" customWidth="1"/>
    <col min="2" max="2" width="21.83203125" bestFit="1" customWidth="1"/>
    <col min="3" max="3" width="38.6640625" bestFit="1" customWidth="1"/>
    <col min="4" max="4" width="32.33203125" bestFit="1" customWidth="1"/>
    <col min="5" max="5" width="22.33203125" bestFit="1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>
        <v>2025</v>
      </c>
      <c r="B2" s="1">
        <v>397924650</v>
      </c>
      <c r="C2" s="1">
        <v>235293802</v>
      </c>
      <c r="D2" s="3"/>
    </row>
    <row r="3" spans="1:5" x14ac:dyDescent="0.2">
      <c r="A3">
        <v>2024</v>
      </c>
      <c r="B3" s="1">
        <v>627330078</v>
      </c>
      <c r="C3" s="1">
        <v>359700686</v>
      </c>
      <c r="D3" s="3"/>
    </row>
    <row r="4" spans="1:5" x14ac:dyDescent="0.2">
      <c r="A4">
        <v>2023</v>
      </c>
      <c r="B4" s="1">
        <v>608760476</v>
      </c>
      <c r="C4" s="1">
        <v>346014616</v>
      </c>
      <c r="D4" s="3"/>
    </row>
    <row r="5" spans="1:5" x14ac:dyDescent="0.2">
      <c r="A5">
        <v>2022</v>
      </c>
      <c r="B5" s="1">
        <v>547182886</v>
      </c>
      <c r="C5" s="1">
        <v>303301597</v>
      </c>
      <c r="D5" s="3"/>
    </row>
    <row r="6" spans="1:5" x14ac:dyDescent="0.2">
      <c r="A6">
        <v>2021</v>
      </c>
      <c r="B6" s="2">
        <v>393470657</v>
      </c>
      <c r="C6" s="1">
        <v>225665288</v>
      </c>
      <c r="D6" s="3"/>
    </row>
    <row r="7" spans="1:5" x14ac:dyDescent="0.2">
      <c r="A7">
        <v>2020</v>
      </c>
      <c r="B7" s="1">
        <v>296969719</v>
      </c>
      <c r="C7" s="1">
        <v>172124639</v>
      </c>
      <c r="D7" s="3"/>
    </row>
    <row r="8" spans="1:5" x14ac:dyDescent="0.2">
      <c r="A8">
        <v>2019</v>
      </c>
      <c r="B8" s="1">
        <v>298772289</v>
      </c>
      <c r="C8" s="1">
        <v>177517261</v>
      </c>
      <c r="D8" s="3"/>
    </row>
    <row r="14" spans="1:5" ht="18" x14ac:dyDescent="0.2">
      <c r="C14" s="5">
        <v>344295862</v>
      </c>
    </row>
  </sheetData>
  <sortState xmlns:xlrd2="http://schemas.microsoft.com/office/spreadsheetml/2017/richdata2" ref="A2:D8">
    <sortCondition descending="1" ref="A1:A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EA6F-DA60-244E-8F97-68B3B70A0C9A}">
  <dimension ref="A1:F10"/>
  <sheetViews>
    <sheetView workbookViewId="0">
      <selection activeCell="B3" sqref="B3"/>
    </sheetView>
  </sheetViews>
  <sheetFormatPr baseColWidth="10" defaultRowHeight="16" x14ac:dyDescent="0.2"/>
  <cols>
    <col min="2" max="2" width="35.6640625" bestFit="1" customWidth="1"/>
    <col min="3" max="3" width="23.6640625" bestFit="1" customWidth="1"/>
    <col min="4" max="4" width="16.83203125" bestFit="1" customWidth="1"/>
    <col min="6" max="6" width="11.1640625" bestFit="1" customWidth="1"/>
  </cols>
  <sheetData>
    <row r="1" spans="1:6" x14ac:dyDescent="0.2">
      <c r="A1" t="s">
        <v>8</v>
      </c>
      <c r="B1" t="s">
        <v>9</v>
      </c>
      <c r="C1" t="s">
        <v>10</v>
      </c>
      <c r="D1" t="s">
        <v>11</v>
      </c>
    </row>
    <row r="2" spans="1:6" ht="18" x14ac:dyDescent="0.2">
      <c r="A2">
        <v>2019</v>
      </c>
      <c r="B2" s="5">
        <v>75108435</v>
      </c>
      <c r="C2" s="5">
        <v>58700796</v>
      </c>
      <c r="D2" s="5">
        <v>202861057</v>
      </c>
      <c r="E2" s="3">
        <f>B2/D2</f>
        <v>0.37024570467460394</v>
      </c>
      <c r="F2" s="1">
        <f>SUM(B2:D2)</f>
        <v>336670288</v>
      </c>
    </row>
    <row r="3" spans="1:6" ht="18" x14ac:dyDescent="0.2">
      <c r="C3" s="5">
        <v>53289538</v>
      </c>
    </row>
    <row r="10" spans="1:6" x14ac:dyDescent="0.2">
      <c r="A10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655B-57AF-0845-8A81-BC7A8BA427D6}">
  <dimension ref="A1:E8"/>
  <sheetViews>
    <sheetView tabSelected="1" workbookViewId="0">
      <selection activeCell="E19" sqref="E19"/>
    </sheetView>
  </sheetViews>
  <sheetFormatPr baseColWidth="10" defaultRowHeight="16" x14ac:dyDescent="0.2"/>
  <cols>
    <col min="1" max="1" width="5.1640625" bestFit="1" customWidth="1"/>
    <col min="2" max="2" width="14.5" bestFit="1" customWidth="1"/>
    <col min="3" max="3" width="19.5" bestFit="1" customWidth="1"/>
    <col min="4" max="4" width="16.33203125" bestFit="1" customWidth="1"/>
    <col min="5" max="5" width="14.5" bestFit="1" customWidth="1"/>
  </cols>
  <sheetData>
    <row r="1" spans="1:5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ht="18" x14ac:dyDescent="0.2">
      <c r="A2">
        <v>2025</v>
      </c>
      <c r="B2" s="5">
        <v>444493569</v>
      </c>
      <c r="C2" s="5">
        <v>102329747</v>
      </c>
      <c r="D2" s="5">
        <v>70494117</v>
      </c>
      <c r="E2" s="5">
        <v>267713507</v>
      </c>
    </row>
    <row r="3" spans="1:5" ht="18" x14ac:dyDescent="0.2">
      <c r="A3">
        <v>2024</v>
      </c>
      <c r="B3" s="5">
        <v>696494055</v>
      </c>
      <c r="C3" s="5">
        <v>156777260</v>
      </c>
      <c r="D3" s="5">
        <v>113763570</v>
      </c>
      <c r="E3" s="5">
        <v>420565093</v>
      </c>
    </row>
    <row r="4" spans="1:5" ht="18" x14ac:dyDescent="0.2">
      <c r="A4">
        <v>2023</v>
      </c>
      <c r="B4" s="5">
        <v>668320813</v>
      </c>
      <c r="C4" s="5">
        <v>147521766</v>
      </c>
      <c r="D4" s="5">
        <v>110982262</v>
      </c>
      <c r="E4" s="5">
        <v>405032444</v>
      </c>
    </row>
    <row r="5" spans="1:5" ht="18" x14ac:dyDescent="0.2">
      <c r="A5">
        <v>2022</v>
      </c>
      <c r="B5" s="5">
        <v>595938444</v>
      </c>
      <c r="C5" s="5">
        <v>127646646</v>
      </c>
      <c r="D5" s="5">
        <v>99115744</v>
      </c>
      <c r="E5" s="5">
        <v>360543130</v>
      </c>
    </row>
    <row r="6" spans="1:5" ht="18" x14ac:dyDescent="0.2">
      <c r="A6">
        <v>2021</v>
      </c>
      <c r="B6" s="5">
        <v>449534825</v>
      </c>
      <c r="C6" s="5">
        <v>93282145</v>
      </c>
      <c r="D6" s="5">
        <v>67082794</v>
      </c>
      <c r="E6" s="5">
        <v>254547083</v>
      </c>
    </row>
    <row r="7" spans="1:5" ht="18" x14ac:dyDescent="0.2">
      <c r="A7">
        <v>2020</v>
      </c>
      <c r="B7" s="5">
        <v>336987279</v>
      </c>
      <c r="C7" s="5">
        <v>70216329</v>
      </c>
      <c r="D7" s="5">
        <v>53289538</v>
      </c>
      <c r="E7" s="5">
        <v>190808751</v>
      </c>
    </row>
    <row r="8" spans="1:5" ht="18" x14ac:dyDescent="0.2">
      <c r="A8">
        <v>2019</v>
      </c>
      <c r="B8" s="5">
        <v>344295862</v>
      </c>
      <c r="C8" s="5">
        <v>75108435</v>
      </c>
      <c r="D8" s="5">
        <v>58700796</v>
      </c>
      <c r="E8" s="5">
        <v>202861057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demência</vt:lpstr>
      <vt:lpstr>visita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Sbardelatti</dc:creator>
  <cp:lastModifiedBy>Júlia Sbardelatti</cp:lastModifiedBy>
  <dcterms:created xsi:type="dcterms:W3CDTF">2025-09-25T00:16:09Z</dcterms:created>
  <dcterms:modified xsi:type="dcterms:W3CDTF">2025-10-10T18:45:06Z</dcterms:modified>
</cp:coreProperties>
</file>